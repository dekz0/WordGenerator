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amirs/PycharmProjects/WordGenerator/templates/"/>
    </mc:Choice>
  </mc:AlternateContent>
  <xr:revisionPtr revIDLastSave="0" documentId="13_ncr:1_{43286966-CBF0-284B-9AAD-6A6ED1F1A13C}" xr6:coauthVersionLast="47" xr6:coauthVersionMax="47" xr10:uidLastSave="{00000000-0000-0000-0000-000000000000}"/>
  <bookViews>
    <workbookView xWindow="160" yWindow="660" windowWidth="28480" windowHeight="172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J3" i="1"/>
  <c r="K3" i="1" s="1"/>
  <c r="Q3" i="1" l="1"/>
  <c r="P3" i="1"/>
  <c r="S3" i="1" s="1"/>
  <c r="T3" i="1" s="1"/>
  <c r="O3" i="1"/>
</calcChain>
</file>

<file path=xl/sharedStrings.xml><?xml version="1.0" encoding="utf-8"?>
<sst xmlns="http://schemas.openxmlformats.org/spreadsheetml/2006/main" count="51" uniqueCount="51">
  <si>
    <t>г.Астана</t>
  </si>
  <si>
    <t>г.Астана Коргалджинское шоссе д.2а оф 1618</t>
  </si>
  <si>
    <t>АЛТАЕВА АНЕЛЬ ДАУЛЕТОВНА</t>
  </si>
  <si>
    <t>381/25-71-5292</t>
  </si>
  <si>
    <t>ТАҢАТҚАНОВ ТАБИҒАТ БАҚЫТЖАНҰЛЫ</t>
  </si>
  <si>
    <t>ГУ Министерство торговли и интеграции Республики Казахстан</t>
  </si>
  <si>
    <t>АО " Kaspi Bank" в г.Астана, ИИК: KZ80722S000002063047, БИК Банка: CASPKZKA, БИН Банка: 971241001251, КБЕ: 19, КНП: 119.</t>
  </si>
  <si>
    <t xml:space="preserve">date </t>
  </si>
  <si>
    <t>chsi_address</t>
  </si>
  <si>
    <t>chsi_name</t>
  </si>
  <si>
    <t>production_number</t>
  </si>
  <si>
    <t>production_date</t>
  </si>
  <si>
    <t>debtor_name</t>
  </si>
  <si>
    <t>debt_amount</t>
  </si>
  <si>
    <t>state_duty</t>
  </si>
  <si>
    <t>debt_amount_and_state_duty</t>
  </si>
  <si>
    <t>debtor_iin</t>
  </si>
  <si>
    <t>employer_name</t>
  </si>
  <si>
    <t>employer_bin</t>
  </si>
  <si>
    <t>MRP</t>
  </si>
  <si>
    <t>payment_for_services</t>
  </si>
  <si>
    <t>percent</t>
  </si>
  <si>
    <t>expense</t>
  </si>
  <si>
    <t>total</t>
  </si>
  <si>
    <t>absolute_total</t>
  </si>
  <si>
    <t>chsi_iin</t>
  </si>
  <si>
    <t>chsi_bank</t>
  </si>
  <si>
    <t>enforcement_district</t>
  </si>
  <si>
    <t>chsi_name_rod_pad</t>
  </si>
  <si>
    <t>ЛЕСХАНОВ ДАМИР</t>
  </si>
  <si>
    <t>дата вынесения постановления</t>
  </si>
  <si>
    <t>исполнительный округ частного судебного исполнителя</t>
  </si>
  <si>
    <t>адрес частного судебного исполнителя</t>
  </si>
  <si>
    <t>ФИО частного судебного исполнителя</t>
  </si>
  <si>
    <t>номер исполнительного производства</t>
  </si>
  <si>
    <t>дата начала исполнительного производства</t>
  </si>
  <si>
    <t>ФИО должника</t>
  </si>
  <si>
    <t>сумма основного долга</t>
  </si>
  <si>
    <t>размер государственной пошлины</t>
  </si>
  <si>
    <t>ИИН должника</t>
  </si>
  <si>
    <t>наименование работодателя</t>
  </si>
  <si>
    <t>БИН работодателя</t>
  </si>
  <si>
    <t>размер месячного расчетного показателя или расчет на его основе</t>
  </si>
  <si>
    <t>сумма оплаты деятельности ЧСИ</t>
  </si>
  <si>
    <t>процент от суммы долга для оплаты деятельности ЧСИ</t>
  </si>
  <si>
    <t>сумма расходов по исполнительному производству</t>
  </si>
  <si>
    <t>общая сумма в пользу ЧСИ (оплата деятельности + расходы).</t>
  </si>
  <si>
    <t>ФИО частного судебного исполнителя в родительном падеже</t>
  </si>
  <si>
    <t>общая сумма, на которую обращается взыскание</t>
  </si>
  <si>
    <t>ИИН частного судебного исполнителя</t>
  </si>
  <si>
    <t>филиал банка ЧСИ, где открыт 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</si>
</sst>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0000000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5" fontId="3" fillId="0" borderId="0" xfId="0" applyNumberFormat="1" applyFont="1"/>
    <xf numFmtId="165" fontId="3" fillId="0" borderId="1" xfId="0" applyNumberFormat="1" applyFont="1" applyBorder="1"/>
    <xf numFmtId="164" fontId="3" fillId="0" borderId="1" xfId="1" applyFont="1" applyBorder="1"/>
    <xf numFmtId="164" fontId="0" fillId="0" borderId="1" xfId="1" applyFont="1" applyBorder="1" applyAlignment="1">
      <alignment horizontal="left"/>
    </xf>
    <xf numFmtId="10" fontId="0" fillId="0" borderId="1" xfId="0" applyNumberForma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1" applyFont="1" applyBorder="1" applyAlignment="1">
      <alignment horizontal="left"/>
    </xf>
    <xf numFmtId="9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0" borderId="0" xfId="0" applyFont="1"/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zoomScaleNormal="100" workbookViewId="0">
      <selection activeCell="C6" sqref="C6"/>
    </sheetView>
  </sheetViews>
  <sheetFormatPr baseColWidth="10" defaultColWidth="8.83203125" defaultRowHeight="15" x14ac:dyDescent="0.2"/>
  <cols>
    <col min="1" max="1" width="18.6640625" customWidth="1"/>
    <col min="2" max="2" width="20.83203125" bestFit="1" customWidth="1"/>
    <col min="3" max="3" width="48.33203125" bestFit="1" customWidth="1"/>
    <col min="4" max="4" width="48.33203125" customWidth="1"/>
    <col min="5" max="5" width="36.6640625" bestFit="1" customWidth="1"/>
    <col min="6" max="6" width="20.5" bestFit="1" customWidth="1"/>
    <col min="7" max="7" width="17.5" bestFit="1" customWidth="1"/>
    <col min="8" max="8" width="37.5" bestFit="1" customWidth="1"/>
    <col min="9" max="9" width="16.6640625" bestFit="1" customWidth="1"/>
    <col min="10" max="10" width="15" bestFit="1" customWidth="1"/>
    <col min="11" max="11" width="30" bestFit="1" customWidth="1"/>
    <col min="12" max="12" width="17.6640625" bestFit="1" customWidth="1"/>
    <col min="13" max="13" width="17.33203125" bestFit="1" customWidth="1"/>
    <col min="14" max="14" width="17.5" bestFit="1" customWidth="1"/>
    <col min="15" max="15" width="52.5" bestFit="1" customWidth="1"/>
    <col min="16" max="16" width="22.5" bestFit="1" customWidth="1"/>
    <col min="17" max="17" width="9.5" bestFit="1" customWidth="1"/>
    <col min="18" max="18" width="10.1640625" bestFit="1" customWidth="1"/>
    <col min="19" max="19" width="15.5" bestFit="1" customWidth="1"/>
    <col min="20" max="20" width="16.6640625" bestFit="1" customWidth="1"/>
    <col min="21" max="21" width="17.5" bestFit="1" customWidth="1"/>
    <col min="22" max="22" width="141.5" bestFit="1" customWidth="1"/>
  </cols>
  <sheetData>
    <row r="1" spans="1:26" s="20" customFormat="1" ht="112" x14ac:dyDescent="0.2">
      <c r="A1" s="21" t="s">
        <v>30</v>
      </c>
      <c r="B1" s="21" t="s">
        <v>31</v>
      </c>
      <c r="C1" s="21" t="s">
        <v>32</v>
      </c>
      <c r="D1" s="21" t="s">
        <v>47</v>
      </c>
      <c r="E1" s="21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1" t="s">
        <v>38</v>
      </c>
      <c r="L1" s="20" t="s">
        <v>39</v>
      </c>
      <c r="M1" s="20" t="s">
        <v>40</v>
      </c>
      <c r="N1" s="20" t="s">
        <v>41</v>
      </c>
      <c r="O1" s="20" t="s">
        <v>42</v>
      </c>
      <c r="P1" s="20" t="s">
        <v>43</v>
      </c>
      <c r="Q1" s="20" t="s">
        <v>44</v>
      </c>
      <c r="R1" s="20" t="s">
        <v>45</v>
      </c>
      <c r="S1" s="20" t="s">
        <v>46</v>
      </c>
      <c r="T1" s="20" t="s">
        <v>48</v>
      </c>
      <c r="U1" s="20" t="s">
        <v>49</v>
      </c>
      <c r="V1" s="20" t="s">
        <v>50</v>
      </c>
    </row>
    <row r="2" spans="1:26" s="1" customFormat="1" ht="16" x14ac:dyDescent="0.2">
      <c r="A2" s="2" t="s">
        <v>7</v>
      </c>
      <c r="B2" s="2" t="s">
        <v>27</v>
      </c>
      <c r="C2" s="3" t="s">
        <v>8</v>
      </c>
      <c r="D2" s="3" t="s">
        <v>28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</row>
    <row r="3" spans="1:26" ht="16" x14ac:dyDescent="0.2">
      <c r="A3" s="13" t="str">
        <f ca="1">TEXT(TODAY(),"ДД.ММ.ГГГГ")</f>
        <v>25.12.2025</v>
      </c>
      <c r="B3" s="5" t="s">
        <v>0</v>
      </c>
      <c r="C3" s="5" t="s">
        <v>1</v>
      </c>
      <c r="D3" s="5" t="s">
        <v>29</v>
      </c>
      <c r="E3" s="5" t="s">
        <v>2</v>
      </c>
      <c r="F3" s="5" t="s">
        <v>3</v>
      </c>
      <c r="G3" s="19">
        <v>45984</v>
      </c>
      <c r="H3" s="14" t="s">
        <v>4</v>
      </c>
      <c r="I3" s="10">
        <v>173777.25</v>
      </c>
      <c r="J3" s="18">
        <f>ROUND(I3*1.5/100, 0)</f>
        <v>2607</v>
      </c>
      <c r="K3" s="10">
        <f>I3+J3</f>
        <v>176384.25</v>
      </c>
      <c r="L3" s="9">
        <v>951111351256</v>
      </c>
      <c r="M3" s="4" t="s">
        <v>5</v>
      </c>
      <c r="N3" s="9">
        <v>190740017066</v>
      </c>
      <c r="O3" s="4" t="str">
        <f>IF(K3&lt;259500,"до 60 МРП – 25% процентов от суммы взыскания",IF(K3&lt;1297500,"от 60 до 300 МРП – 20% процентов от суммы взыскания",IF(K3&lt;4325000,"от 300 до 1 000 МРП – 15% процентов от суммы взыскания",IF(K3&lt;21625000,"от 1 000 до 5 000 МРП – 10% процентов от суммы взыскания",IF(K3&lt;43250000,"от 5 000 до 10 000 МРП – 8% процентов от суммы взыскания",IF(K3&lt;86500000,"от 10 000 до 20 000 МРП – 5% процентов от суммы взыскания","свыше 20 000 МРП – 3% процентов от суммы взыскания"))))))</f>
        <v>до 60 МРП – 25% процентов от суммы взыскания</v>
      </c>
      <c r="P3" s="15">
        <f>IF(K3&lt;259500,K3*25%,IF(K3&lt;1297500,K3*20%,IF(K3&lt;4325000,K3*15%,IF(K3&lt;21625000,K3*10%,IF(K3&lt;43250000,K3*8%,IF(K3&lt;86500000,K3*5%,K3*3%))))))</f>
        <v>44096.0625</v>
      </c>
      <c r="Q3" s="16">
        <f>IF(K3&lt;259500,25%,IF(K3&lt;1297500,20%,IF(K3&lt;4325000,15%,IF(K3&lt;21625000,10%,IF(K3&lt;43250000,8%,IF(K3&lt;86500000,5%,3%))))))</f>
        <v>0.25</v>
      </c>
      <c r="R3" s="14">
        <v>700</v>
      </c>
      <c r="S3" s="17">
        <f>R3+P3</f>
        <v>44796.0625</v>
      </c>
      <c r="T3" s="17">
        <f>S3+K3</f>
        <v>221180.3125</v>
      </c>
      <c r="U3" s="8">
        <v>840520450014</v>
      </c>
      <c r="V3" s="14" t="s">
        <v>6</v>
      </c>
      <c r="W3" s="7"/>
      <c r="X3" s="7"/>
      <c r="Y3" s="7"/>
      <c r="Z3" s="7"/>
    </row>
    <row r="4" spans="1:26" ht="16" x14ac:dyDescent="0.2">
      <c r="A4" s="6"/>
      <c r="B4" s="6"/>
      <c r="C4" s="6"/>
      <c r="D4" s="6"/>
      <c r="E4" s="6"/>
      <c r="F4" s="6"/>
      <c r="H4" s="6"/>
      <c r="I4" s="11"/>
      <c r="J4" s="11"/>
      <c r="K4" s="11"/>
      <c r="L4" s="6"/>
      <c r="M4" s="6"/>
      <c r="N4" s="6"/>
      <c r="O4" s="4"/>
      <c r="P4" s="11"/>
      <c r="Q4" s="12"/>
      <c r="R4" s="6"/>
      <c r="S4" s="6"/>
      <c r="T4" s="6"/>
      <c r="U4" s="6"/>
      <c r="V4" s="6"/>
      <c r="W4" s="7"/>
      <c r="X4" s="7"/>
      <c r="Y4" s="7"/>
      <c r="Z4" s="7"/>
    </row>
    <row r="5" spans="1:26" ht="16" x14ac:dyDescent="0.2">
      <c r="A5" s="6"/>
      <c r="B5" s="6"/>
      <c r="C5" s="6"/>
      <c r="D5" s="6"/>
      <c r="E5" s="6"/>
      <c r="F5" s="6"/>
      <c r="G5" s="6"/>
      <c r="H5" s="6"/>
      <c r="I5" s="11"/>
      <c r="J5" s="6"/>
      <c r="K5" s="11"/>
      <c r="L5" s="6"/>
      <c r="M5" s="6"/>
      <c r="N5" s="6"/>
      <c r="O5" s="4"/>
      <c r="P5" s="11"/>
      <c r="Q5" s="12"/>
      <c r="R5" s="6"/>
      <c r="S5" s="6"/>
      <c r="T5" s="6"/>
      <c r="U5" s="6"/>
      <c r="V5" s="6"/>
      <c r="W5" s="7"/>
      <c r="X5" s="7"/>
      <c r="Y5" s="7"/>
      <c r="Z5" s="7"/>
    </row>
    <row r="6" spans="1:26" ht="16" x14ac:dyDescent="0.2">
      <c r="A6" s="6"/>
      <c r="B6" s="6"/>
      <c r="C6" s="6"/>
      <c r="D6" s="6"/>
      <c r="E6" s="6"/>
      <c r="F6" s="6"/>
      <c r="G6" s="6"/>
      <c r="H6" s="6"/>
      <c r="I6" s="11"/>
      <c r="J6" s="6"/>
      <c r="K6" s="11"/>
      <c r="L6" s="6"/>
      <c r="M6" s="6"/>
      <c r="N6" s="6"/>
      <c r="O6" s="4"/>
      <c r="P6" s="6"/>
      <c r="Q6" s="12"/>
      <c r="R6" s="6"/>
      <c r="S6" s="6"/>
      <c r="T6" s="6"/>
      <c r="U6" s="6"/>
      <c r="V6" s="6"/>
      <c r="W6" s="7"/>
      <c r="X6" s="7"/>
      <c r="Y6" s="7"/>
      <c r="Z6" s="7"/>
    </row>
    <row r="7" spans="1:26" x14ac:dyDescent="0.2">
      <c r="A7" s="6"/>
      <c r="B7" s="6"/>
      <c r="C7" s="6"/>
      <c r="D7" s="6"/>
      <c r="E7" s="6"/>
      <c r="F7" s="6"/>
      <c r="G7" s="6"/>
      <c r="H7" s="6"/>
      <c r="I7" s="11"/>
      <c r="J7" s="6"/>
      <c r="K7" s="11"/>
      <c r="L7" s="6"/>
      <c r="M7" s="6"/>
      <c r="N7" s="6"/>
      <c r="O7" s="6"/>
      <c r="P7" s="6"/>
      <c r="Q7" s="12"/>
      <c r="R7" s="6"/>
      <c r="S7" s="6"/>
      <c r="T7" s="6"/>
      <c r="U7" s="6"/>
      <c r="V7" s="6"/>
      <c r="W7" s="7"/>
      <c r="X7" s="7"/>
      <c r="Y7" s="7"/>
      <c r="Z7" s="7"/>
    </row>
    <row r="8" spans="1:26" x14ac:dyDescent="0.2">
      <c r="A8" s="6"/>
      <c r="B8" s="6"/>
      <c r="C8" s="6"/>
      <c r="D8" s="6"/>
      <c r="E8" s="6"/>
      <c r="F8" s="6"/>
      <c r="G8" s="6"/>
      <c r="H8" s="6"/>
      <c r="I8" s="11"/>
      <c r="J8" s="6"/>
      <c r="K8" s="11"/>
      <c r="L8" s="6"/>
      <c r="M8" s="6"/>
      <c r="N8" s="6"/>
      <c r="O8" s="6"/>
      <c r="P8" s="6"/>
      <c r="Q8" s="12"/>
      <c r="R8" s="6"/>
      <c r="S8" s="6"/>
      <c r="T8" s="6"/>
      <c r="U8" s="6"/>
      <c r="V8" s="6"/>
      <c r="W8" s="7"/>
      <c r="X8" s="7"/>
      <c r="Y8" s="7"/>
      <c r="Z8" s="7"/>
    </row>
    <row r="9" spans="1:26" x14ac:dyDescent="0.2">
      <c r="A9" s="6"/>
      <c r="B9" s="6"/>
      <c r="C9" s="6"/>
      <c r="D9" s="6"/>
      <c r="E9" s="6"/>
      <c r="F9" s="6"/>
      <c r="G9" s="6"/>
      <c r="H9" s="6"/>
      <c r="I9" s="11"/>
      <c r="J9" s="6"/>
      <c r="K9" s="11"/>
      <c r="L9" s="6"/>
      <c r="M9" s="6"/>
      <c r="N9" s="6"/>
      <c r="O9" s="6"/>
      <c r="P9" s="6"/>
      <c r="Q9" s="12"/>
      <c r="R9" s="6"/>
      <c r="S9" s="6"/>
      <c r="T9" s="6"/>
      <c r="U9" s="6"/>
      <c r="V9" s="6"/>
      <c r="W9" s="7"/>
      <c r="X9" s="7"/>
      <c r="Y9" s="7"/>
      <c r="Z9" s="7"/>
    </row>
    <row r="10" spans="1:26" x14ac:dyDescent="0.2">
      <c r="A10" s="6"/>
      <c r="B10" s="6"/>
      <c r="C10" s="6"/>
      <c r="D10" s="6"/>
      <c r="E10" s="6"/>
      <c r="F10" s="6"/>
      <c r="G10" s="6"/>
      <c r="H10" s="6"/>
      <c r="I10" s="11"/>
      <c r="J10" s="6"/>
      <c r="K10" s="11"/>
      <c r="L10" s="6"/>
      <c r="M10" s="6"/>
      <c r="N10" s="6"/>
      <c r="O10" s="6"/>
      <c r="P10" s="6"/>
      <c r="Q10" s="12"/>
      <c r="R10" s="6"/>
      <c r="S10" s="6"/>
      <c r="T10" s="6"/>
      <c r="U10" s="6"/>
      <c r="V10" s="6"/>
      <c r="W10" s="7"/>
      <c r="X10" s="7"/>
      <c r="Y10" s="7"/>
      <c r="Z10" s="7"/>
    </row>
    <row r="11" spans="1:26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2"/>
      <c r="R11" s="6"/>
      <c r="S11" s="6"/>
      <c r="T11" s="6"/>
      <c r="U11" s="6"/>
      <c r="V11" s="6"/>
      <c r="W11" s="7"/>
      <c r="X11" s="7"/>
      <c r="Y11" s="7"/>
      <c r="Z11" s="7"/>
    </row>
    <row r="12" spans="1:26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2"/>
      <c r="R12" s="6"/>
      <c r="S12" s="6"/>
      <c r="T12" s="6"/>
      <c r="U12" s="6"/>
      <c r="V12" s="6"/>
      <c r="W12" s="7"/>
      <c r="X12" s="7"/>
      <c r="Y12" s="7"/>
      <c r="Z12" s="7"/>
    </row>
    <row r="13" spans="1:26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2"/>
      <c r="R13" s="6"/>
      <c r="S13" s="6"/>
      <c r="T13" s="6"/>
      <c r="U13" s="6"/>
      <c r="V13" s="6"/>
      <c r="W13" s="7"/>
      <c r="X13" s="7"/>
      <c r="Y13" s="7"/>
      <c r="Z13" s="7"/>
    </row>
    <row r="14" spans="1:26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2"/>
      <c r="R14" s="6"/>
      <c r="S14" s="6"/>
      <c r="T14" s="6"/>
      <c r="U14" s="6"/>
      <c r="V14" s="6"/>
      <c r="W14" s="7"/>
      <c r="X14" s="7"/>
      <c r="Y14" s="7"/>
      <c r="Z14" s="7"/>
    </row>
    <row r="15" spans="1:26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2"/>
      <c r="R15" s="6"/>
      <c r="S15" s="6"/>
      <c r="T15" s="6"/>
      <c r="U15" s="6"/>
      <c r="V15" s="6"/>
      <c r="W15" s="7"/>
      <c r="X15" s="7"/>
      <c r="Y15" s="7"/>
      <c r="Z15" s="7"/>
    </row>
    <row r="16" spans="1:26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2"/>
      <c r="R16" s="6"/>
      <c r="S16" s="6"/>
      <c r="T16" s="6"/>
      <c r="U16" s="6"/>
      <c r="V16" s="6"/>
      <c r="W16" s="7"/>
      <c r="X16" s="7"/>
      <c r="Y16" s="7"/>
      <c r="Z16" s="7"/>
    </row>
    <row r="17" spans="1:26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2"/>
      <c r="R17" s="6"/>
      <c r="S17" s="6"/>
      <c r="T17" s="6"/>
      <c r="U17" s="6"/>
      <c r="V17" s="6"/>
      <c r="W17" s="7"/>
      <c r="X17" s="7"/>
      <c r="Y17" s="7"/>
      <c r="Z17" s="7"/>
    </row>
    <row r="18" spans="1:26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2"/>
      <c r="R18" s="6"/>
      <c r="S18" s="6"/>
      <c r="T18" s="6"/>
      <c r="U18" s="6"/>
      <c r="V18" s="6"/>
      <c r="W18" s="7"/>
      <c r="X18" s="7"/>
      <c r="Y18" s="7"/>
      <c r="Z18" s="7"/>
    </row>
    <row r="19" spans="1:26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2"/>
      <c r="R19" s="6"/>
      <c r="S19" s="6"/>
      <c r="T19" s="6"/>
      <c r="U19" s="6"/>
      <c r="V19" s="6"/>
      <c r="W19" s="7"/>
      <c r="X19" s="7"/>
      <c r="Y19" s="7"/>
      <c r="Z19" s="7"/>
    </row>
    <row r="20" spans="1:26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2"/>
      <c r="R20" s="6"/>
      <c r="S20" s="6"/>
      <c r="T20" s="6"/>
      <c r="U20" s="6"/>
      <c r="V20" s="6"/>
      <c r="W20" s="7"/>
      <c r="X20" s="7"/>
      <c r="Y20" s="7"/>
      <c r="Z20" s="7"/>
    </row>
    <row r="21" spans="1:26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2"/>
      <c r="R21" s="6"/>
      <c r="S21" s="6"/>
      <c r="T21" s="6"/>
      <c r="U21" s="6"/>
      <c r="V21" s="6"/>
      <c r="W21" s="7"/>
      <c r="X21" s="7"/>
      <c r="Y21" s="7"/>
      <c r="Z21" s="7"/>
    </row>
    <row r="22" spans="1:2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2"/>
      <c r="R22" s="6"/>
      <c r="S22" s="6"/>
      <c r="T22" s="6"/>
      <c r="U22" s="6"/>
      <c r="V22" s="6"/>
      <c r="W22" s="7"/>
      <c r="X22" s="7"/>
      <c r="Y22" s="7"/>
      <c r="Z22" s="7"/>
    </row>
    <row r="23" spans="1:26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</dc:creator>
  <cp:lastModifiedBy>Damir Leskhanov</cp:lastModifiedBy>
  <dcterms:created xsi:type="dcterms:W3CDTF">2025-12-24T05:11:25Z</dcterms:created>
  <dcterms:modified xsi:type="dcterms:W3CDTF">2025-12-25T08:21:24Z</dcterms:modified>
</cp:coreProperties>
</file>